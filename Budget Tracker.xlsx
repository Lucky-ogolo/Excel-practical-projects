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Portfolio\"/>
    </mc:Choice>
  </mc:AlternateContent>
  <xr:revisionPtr revIDLastSave="0" documentId="8_{320F0E38-730E-4FEE-ACB6-B92BE692A12D}" xr6:coauthVersionLast="47" xr6:coauthVersionMax="47" xr10:uidLastSave="{00000000-0000-0000-0000-000000000000}"/>
  <bookViews>
    <workbookView xWindow="-110" yWindow="-110" windowWidth="19420" windowHeight="11020" xr2:uid="{8F493933-23CC-4B92-9F8F-B6E113DEF0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8" i="1"/>
  <c r="J15" i="1"/>
  <c r="I15" i="1" s="1"/>
  <c r="J14" i="1"/>
  <c r="J13" i="1"/>
  <c r="J12" i="1"/>
  <c r="H6" i="1"/>
  <c r="H5" i="1"/>
  <c r="I12" i="1" l="1"/>
  <c r="I13" i="1"/>
  <c r="I14" i="1"/>
</calcChain>
</file>

<file path=xl/sharedStrings.xml><?xml version="1.0" encoding="utf-8"?>
<sst xmlns="http://schemas.openxmlformats.org/spreadsheetml/2006/main" count="43" uniqueCount="30">
  <si>
    <t>💸📊2026 Budet Tracker</t>
  </si>
  <si>
    <t>Income</t>
  </si>
  <si>
    <t>Expenses</t>
  </si>
  <si>
    <t>Total income</t>
  </si>
  <si>
    <t>Total expenses</t>
  </si>
  <si>
    <t>Wants</t>
  </si>
  <si>
    <t>Needs</t>
  </si>
  <si>
    <t>Goals</t>
  </si>
  <si>
    <t>Savings</t>
  </si>
  <si>
    <t>Actual</t>
  </si>
  <si>
    <t>Food</t>
  </si>
  <si>
    <t>Internet Subscription</t>
  </si>
  <si>
    <t>Logistics</t>
  </si>
  <si>
    <t>You only live once</t>
  </si>
  <si>
    <t>January</t>
  </si>
  <si>
    <t>Petrol</t>
  </si>
  <si>
    <t>Paycheck</t>
  </si>
  <si>
    <t>Painting Jobs</t>
  </si>
  <si>
    <t>Construction Jobs</t>
  </si>
  <si>
    <t>Forex</t>
  </si>
  <si>
    <t>Sportybet</t>
  </si>
  <si>
    <t>My babe</t>
  </si>
  <si>
    <t>Remote gigs</t>
  </si>
  <si>
    <t>Money from spirits</t>
  </si>
  <si>
    <t>Unexpected funds</t>
  </si>
  <si>
    <t>Emergency</t>
  </si>
  <si>
    <t>Expected Billing</t>
  </si>
  <si>
    <t>unexpected billing</t>
  </si>
  <si>
    <t>Unexpected waka</t>
  </si>
  <si>
    <t>Charity donations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</si>
</sst>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38AA71"/>
        <bgColor indexed="64"/>
      </patternFill>
    </fill>
    <fill>
      <patternFill patternType="solid">
        <fgColor rgb="FFB80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7" borderId="0" xfId="0" applyFill="1"/>
    <xf numFmtId="164" fontId="0" fillId="0" borderId="0" xfId="0" applyNumberFormat="1"/>
    <xf numFmtId="0" fontId="2" fillId="3" borderId="0" xfId="0" applyFont="1" applyFill="1" applyAlignment="1">
      <alignment horizontal="center"/>
    </xf>
    <xf numFmtId="164" fontId="0" fillId="6" borderId="0" xfId="0" applyNumberFormat="1" applyFill="1"/>
    <xf numFmtId="164" fontId="0" fillId="7" borderId="0" xfId="0" applyNumberFormat="1" applyFill="1"/>
    <xf numFmtId="164" fontId="0" fillId="7" borderId="1" xfId="0" applyNumberFormat="1" applyFill="1" applyBorder="1"/>
    <xf numFmtId="164" fontId="0" fillId="6" borderId="1" xfId="0" applyNumberFormat="1" applyFill="1" applyBorder="1"/>
    <xf numFmtId="0" fontId="2" fillId="4" borderId="0" xfId="0" applyFont="1" applyFill="1" applyAlignment="1"/>
    <xf numFmtId="0" fontId="2" fillId="4" borderId="0" xfId="0" applyFont="1" applyFill="1" applyAlignment="1">
      <alignment horizontal="right"/>
    </xf>
    <xf numFmtId="9" fontId="0" fillId="0" borderId="0" xfId="1" applyFont="1"/>
    <xf numFmtId="0" fontId="5" fillId="5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0" fillId="8" borderId="0" xfId="0" applyFill="1"/>
    <xf numFmtId="9" fontId="0" fillId="8" borderId="0" xfId="1" applyFont="1" applyFill="1"/>
    <xf numFmtId="164" fontId="0" fillId="8" borderId="0" xfId="0" applyNumberFormat="1" applyFill="1"/>
    <xf numFmtId="0" fontId="0" fillId="9" borderId="0" xfId="0" applyFill="1"/>
    <xf numFmtId="9" fontId="0" fillId="9" borderId="0" xfId="1" applyFont="1" applyFill="1"/>
    <xf numFmtId="164" fontId="0" fillId="9" borderId="0" xfId="0" applyNumberFormat="1" applyFill="1"/>
    <xf numFmtId="0" fontId="0" fillId="10" borderId="0" xfId="0" applyFill="1"/>
    <xf numFmtId="0" fontId="4" fillId="7" borderId="1" xfId="0" applyFont="1" applyFill="1" applyBorder="1"/>
    <xf numFmtId="0" fontId="4" fillId="6" borderId="1" xfId="0" applyFont="1" applyFill="1" applyBorder="1"/>
  </cellXfs>
  <cellStyles count="2">
    <cellStyle name="Normal" xfId="0" builtinId="0"/>
    <cellStyle name="Percent" xfId="1" builtinId="5"/>
  </cellStyles>
  <dxfs count="7">
    <dxf>
      <font>
        <b/>
        <i val="0"/>
        <color theme="1" tint="4.9989318521683403E-2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0505"/>
        </patternFill>
      </fill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760000"/>
        </patternFill>
      </fill>
    </dxf>
    <dxf>
      <font>
        <b/>
        <i val="0"/>
        <color theme="1" tint="4.9989318521683403E-2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0505"/>
        </patternFill>
      </fill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760000"/>
      <color rgb="FFFFA7A7"/>
      <color rgb="FF99CCFF"/>
      <color rgb="FFFF0505"/>
      <color rgb="FFFF7171"/>
      <color rgb="FFB80000"/>
      <color rgb="FFF20000"/>
      <color rgb="FF38AA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7C80-BEED-4519-8252-57B6CF342C29}">
  <dimension ref="A1:J15"/>
  <sheetViews>
    <sheetView tabSelected="1" workbookViewId="0">
      <selection activeCell="E6" sqref="E6"/>
    </sheetView>
  </sheetViews>
  <sheetFormatPr defaultRowHeight="14.5" x14ac:dyDescent="0.35"/>
  <cols>
    <col min="1" max="1" width="18.26953125" customWidth="1"/>
    <col min="2" max="2" width="13.1796875" style="2" customWidth="1"/>
    <col min="3" max="3" width="22" customWidth="1"/>
    <col min="4" max="4" width="14" style="2" customWidth="1"/>
    <col min="5" max="5" width="13.26953125" bestFit="1" customWidth="1"/>
    <col min="6" max="6" width="8.90625" customWidth="1"/>
    <col min="7" max="7" width="12.6328125" customWidth="1"/>
    <col min="8" max="8" width="10.453125" customWidth="1"/>
    <col min="9" max="9" width="8.7265625" style="10"/>
    <col min="10" max="10" width="8.7265625" style="2"/>
  </cols>
  <sheetData>
    <row r="1" spans="1:10" ht="18.5" customHeight="1" x14ac:dyDescent="0.35">
      <c r="A1" s="12" t="s">
        <v>0</v>
      </c>
      <c r="B1" s="12"/>
      <c r="C1" s="12"/>
      <c r="D1" s="12"/>
      <c r="E1" s="12"/>
    </row>
    <row r="2" spans="1:10" x14ac:dyDescent="0.35">
      <c r="A2" s="12"/>
      <c r="B2" s="12"/>
      <c r="C2" s="12"/>
      <c r="D2" s="12"/>
      <c r="E2" s="12"/>
    </row>
    <row r="3" spans="1:10" x14ac:dyDescent="0.35">
      <c r="A3" s="11" t="s">
        <v>14</v>
      </c>
      <c r="B3" s="11"/>
      <c r="C3" s="11"/>
      <c r="D3" s="11"/>
      <c r="E3" s="11"/>
    </row>
    <row r="4" spans="1:10" x14ac:dyDescent="0.35">
      <c r="A4" s="11"/>
      <c r="B4" s="11"/>
      <c r="C4" s="11"/>
      <c r="D4" s="11"/>
      <c r="E4" s="11"/>
    </row>
    <row r="5" spans="1:10" x14ac:dyDescent="0.35">
      <c r="A5" s="3" t="s">
        <v>1</v>
      </c>
      <c r="B5" s="3"/>
      <c r="C5" s="9" t="s">
        <v>2</v>
      </c>
      <c r="D5" s="8"/>
      <c r="E5" s="8"/>
      <c r="G5" s="19" t="s">
        <v>3</v>
      </c>
      <c r="H5" s="4">
        <f>SUM(B:B)</f>
        <v>903</v>
      </c>
    </row>
    <row r="6" spans="1:10" ht="15.5" x14ac:dyDescent="0.35">
      <c r="A6" s="21" t="s">
        <v>16</v>
      </c>
      <c r="B6" s="7">
        <v>40</v>
      </c>
      <c r="C6" s="20" t="s">
        <v>10</v>
      </c>
      <c r="D6" s="6">
        <v>100</v>
      </c>
      <c r="E6" s="1" t="s">
        <v>6</v>
      </c>
      <c r="G6" s="19" t="s">
        <v>4</v>
      </c>
      <c r="H6" s="5">
        <f>SUM(D:D)</f>
        <v>425</v>
      </c>
    </row>
    <row r="7" spans="1:10" ht="15.5" x14ac:dyDescent="0.35">
      <c r="A7" s="21" t="s">
        <v>18</v>
      </c>
      <c r="B7" s="7">
        <v>60</v>
      </c>
      <c r="C7" s="20" t="s">
        <v>11</v>
      </c>
      <c r="D7" s="6">
        <v>50</v>
      </c>
      <c r="E7" s="1" t="s">
        <v>6</v>
      </c>
    </row>
    <row r="8" spans="1:10" ht="15.5" x14ac:dyDescent="0.35">
      <c r="A8" s="21" t="s">
        <v>17</v>
      </c>
      <c r="B8" s="7">
        <v>30</v>
      </c>
      <c r="C8" s="20" t="s">
        <v>26</v>
      </c>
      <c r="D8" s="6">
        <v>90</v>
      </c>
      <c r="E8" s="1" t="s">
        <v>5</v>
      </c>
      <c r="G8" s="13" t="s">
        <v>7</v>
      </c>
      <c r="H8" s="13" t="s">
        <v>6</v>
      </c>
      <c r="I8" s="14">
        <v>0.4</v>
      </c>
      <c r="J8" s="15">
        <f>H$5*I8</f>
        <v>361.20000000000005</v>
      </c>
    </row>
    <row r="9" spans="1:10" ht="15.5" x14ac:dyDescent="0.35">
      <c r="A9" s="21" t="s">
        <v>19</v>
      </c>
      <c r="B9" s="7">
        <v>15</v>
      </c>
      <c r="C9" s="20" t="s">
        <v>12</v>
      </c>
      <c r="D9" s="6">
        <v>40</v>
      </c>
      <c r="E9" s="1" t="s">
        <v>6</v>
      </c>
      <c r="G9" s="13"/>
      <c r="H9" s="13" t="s">
        <v>5</v>
      </c>
      <c r="I9" s="14">
        <v>0.2</v>
      </c>
      <c r="J9" s="15">
        <f t="shared" ref="J9:J11" si="0">H$5*I9</f>
        <v>180.60000000000002</v>
      </c>
    </row>
    <row r="10" spans="1:10" ht="15.5" x14ac:dyDescent="0.35">
      <c r="A10" s="21" t="s">
        <v>20</v>
      </c>
      <c r="B10" s="7">
        <v>100</v>
      </c>
      <c r="C10" s="20" t="s">
        <v>13</v>
      </c>
      <c r="D10" s="6">
        <v>50</v>
      </c>
      <c r="E10" s="1" t="s">
        <v>5</v>
      </c>
      <c r="G10" s="13"/>
      <c r="H10" s="13" t="s">
        <v>8</v>
      </c>
      <c r="I10" s="14">
        <v>0.1</v>
      </c>
      <c r="J10" s="15">
        <f t="shared" si="0"/>
        <v>90.300000000000011</v>
      </c>
    </row>
    <row r="11" spans="1:10" ht="15.5" x14ac:dyDescent="0.35">
      <c r="A11" s="21" t="s">
        <v>21</v>
      </c>
      <c r="B11" s="7">
        <v>35</v>
      </c>
      <c r="C11" s="20" t="s">
        <v>15</v>
      </c>
      <c r="D11" s="6">
        <v>15</v>
      </c>
      <c r="E11" s="1" t="s">
        <v>6</v>
      </c>
      <c r="G11" s="13"/>
      <c r="H11" s="13" t="s">
        <v>25</v>
      </c>
      <c r="I11" s="14">
        <v>0.2</v>
      </c>
      <c r="J11" s="15">
        <f t="shared" si="0"/>
        <v>180.60000000000002</v>
      </c>
    </row>
    <row r="12" spans="1:10" ht="15.5" x14ac:dyDescent="0.35">
      <c r="A12" s="21" t="s">
        <v>22</v>
      </c>
      <c r="B12" s="7">
        <v>85</v>
      </c>
      <c r="C12" s="20" t="s">
        <v>27</v>
      </c>
      <c r="D12" s="6">
        <v>35</v>
      </c>
      <c r="E12" s="1" t="s">
        <v>25</v>
      </c>
      <c r="G12" s="16" t="s">
        <v>9</v>
      </c>
      <c r="H12" s="16" t="s">
        <v>6</v>
      </c>
      <c r="I12" s="17">
        <f>J12/H$5</f>
        <v>0.22702104097452935</v>
      </c>
      <c r="J12" s="18">
        <f>SUMIF(E:E,"Needs",D:D)</f>
        <v>205</v>
      </c>
    </row>
    <row r="13" spans="1:10" ht="15.5" x14ac:dyDescent="0.35">
      <c r="A13" s="21" t="s">
        <v>23</v>
      </c>
      <c r="B13" s="7">
        <v>468</v>
      </c>
      <c r="C13" s="20" t="s">
        <v>28</v>
      </c>
      <c r="D13" s="6">
        <v>25</v>
      </c>
      <c r="E13" s="1" t="s">
        <v>25</v>
      </c>
      <c r="G13" s="16"/>
      <c r="H13" s="16" t="s">
        <v>5</v>
      </c>
      <c r="I13" s="17">
        <f t="shared" ref="I13:I15" si="1">J13/H$5</f>
        <v>0.17718715393133999</v>
      </c>
      <c r="J13" s="18">
        <f>SUMIF(E:E,"Wants",D:D)</f>
        <v>160</v>
      </c>
    </row>
    <row r="14" spans="1:10" ht="15.5" x14ac:dyDescent="0.35">
      <c r="A14" s="21" t="s">
        <v>24</v>
      </c>
      <c r="B14" s="7">
        <v>70</v>
      </c>
      <c r="C14" s="20" t="s">
        <v>29</v>
      </c>
      <c r="D14" s="6">
        <v>20</v>
      </c>
      <c r="E14" s="1" t="s">
        <v>5</v>
      </c>
      <c r="G14" s="16"/>
      <c r="H14" s="16" t="s">
        <v>8</v>
      </c>
      <c r="I14" s="17">
        <f t="shared" si="1"/>
        <v>0</v>
      </c>
      <c r="J14" s="18">
        <f>SUMIF(E:E,"Savings",D:D)</f>
        <v>0</v>
      </c>
    </row>
    <row r="15" spans="1:10" x14ac:dyDescent="0.35">
      <c r="G15" s="16"/>
      <c r="H15" s="16" t="s">
        <v>25</v>
      </c>
      <c r="I15" s="17">
        <f t="shared" si="1"/>
        <v>6.6445182724252497E-2</v>
      </c>
      <c r="J15" s="18">
        <f>SUMIF(E:E,"Emergency",D:D)</f>
        <v>60</v>
      </c>
    </row>
  </sheetData>
  <mergeCells count="3">
    <mergeCell ref="A5:B5"/>
    <mergeCell ref="A3:E4"/>
    <mergeCell ref="A1:E2"/>
  </mergeCells>
  <conditionalFormatting sqref="E6:E14">
    <cfRule type="containsText" dxfId="6" priority="4" operator="containsText" text="Needs">
      <formula>NOT(ISERROR(SEARCH("Needs",E6)))</formula>
    </cfRule>
    <cfRule type="containsText" dxfId="5" priority="3" operator="containsText" text="Wants">
      <formula>NOT(ISERROR(SEARCH("Wants",E6)))</formula>
    </cfRule>
    <cfRule type="containsText" dxfId="4" priority="2" operator="containsText" text="Savings">
      <formula>NOT(ISERROR(SEARCH("Savings",E6)))</formula>
    </cfRule>
  </conditionalFormatting>
  <conditionalFormatting sqref="E6:E112">
    <cfRule type="containsText" dxfId="3" priority="1" operator="containsText" text="Emergency">
      <formula>NOT(ISERROR(SEARCH("Emergency",E6)))</formula>
    </cfRule>
  </conditionalFormatting>
  <dataValidations count="1">
    <dataValidation type="list" allowBlank="1" showInputMessage="1" showErrorMessage="1" sqref="E6:E14" xr:uid="{1292B5C6-8605-4F2F-ADDA-181F7C339501}">
      <formula1>"Needs,Wants,Savings,Emergency"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2026-01-31T09:59:08Z</dcterms:created>
  <dcterms:modified xsi:type="dcterms:W3CDTF">2026-01-31T11:16:57Z</dcterms:modified>
</cp:coreProperties>
</file>